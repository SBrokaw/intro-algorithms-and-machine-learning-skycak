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brokaw\projects\2025\python_algorithms_and_ML_Skycak\ch3_objects\"/>
    </mc:Choice>
  </mc:AlternateContent>
  <xr:revisionPtr revIDLastSave="0" documentId="13_ncr:1_{F1979A2F-7B28-435E-9ACE-C4D758C2C3D0}" xr6:coauthVersionLast="47" xr6:coauthVersionMax="47" xr10:uidLastSave="{00000000-0000-0000-0000-000000000000}"/>
  <bookViews>
    <workbookView xWindow="12735" yWindow="4620" windowWidth="11790" windowHeight="13470" xr2:uid="{D04F6EDF-5F47-46B3-BEF7-D314B8EBF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C22" i="1"/>
  <c r="D22" i="1"/>
  <c r="E22" i="1"/>
  <c r="F22" i="1"/>
  <c r="G22" i="1"/>
  <c r="H22" i="1"/>
  <c r="I22" i="1"/>
  <c r="B22" i="1"/>
  <c r="C20" i="1"/>
  <c r="D20" i="1"/>
  <c r="E20" i="1"/>
  <c r="F20" i="1"/>
  <c r="G20" i="1"/>
  <c r="H20" i="1"/>
  <c r="I20" i="1"/>
  <c r="B20" i="1"/>
  <c r="J15" i="1"/>
  <c r="C21" i="1"/>
  <c r="D21" i="1"/>
  <c r="E21" i="1"/>
  <c r="F21" i="1"/>
  <c r="G21" i="1"/>
  <c r="H21" i="1"/>
  <c r="I21" i="1"/>
  <c r="B21" i="1"/>
  <c r="L16" i="1"/>
  <c r="L17" i="1"/>
  <c r="L18" i="1"/>
  <c r="L15" i="1"/>
  <c r="J16" i="1"/>
  <c r="J17" i="1"/>
  <c r="J18" i="1"/>
  <c r="J14" i="1"/>
  <c r="B18" i="1"/>
  <c r="C18" i="1"/>
  <c r="D18" i="1"/>
  <c r="E18" i="1"/>
  <c r="F18" i="1"/>
  <c r="G18" i="1"/>
  <c r="H18" i="1"/>
  <c r="I18" i="1"/>
  <c r="C17" i="1"/>
  <c r="D17" i="1"/>
  <c r="E17" i="1"/>
  <c r="F17" i="1"/>
  <c r="G17" i="1"/>
  <c r="H17" i="1"/>
  <c r="I17" i="1"/>
  <c r="B17" i="1"/>
  <c r="B15" i="1"/>
  <c r="C15" i="1"/>
  <c r="D15" i="1"/>
  <c r="E15" i="1"/>
  <c r="F15" i="1"/>
  <c r="G15" i="1"/>
  <c r="H15" i="1"/>
  <c r="I15" i="1"/>
  <c r="H14" i="1"/>
  <c r="C14" i="1"/>
  <c r="D14" i="1"/>
  <c r="E14" i="1"/>
  <c r="F14" i="1"/>
  <c r="G14" i="1"/>
  <c r="I14" i="1"/>
  <c r="B14" i="1"/>
  <c r="J9" i="1"/>
  <c r="J11" i="1"/>
  <c r="J12" i="1"/>
  <c r="J8" i="1"/>
  <c r="B9" i="1"/>
  <c r="C9" i="1"/>
  <c r="D9" i="1"/>
  <c r="E9" i="1"/>
  <c r="F9" i="1"/>
  <c r="G9" i="1"/>
  <c r="H9" i="1"/>
  <c r="I9" i="1"/>
  <c r="B10" i="1"/>
  <c r="B16" i="1" s="1"/>
  <c r="C10" i="1"/>
  <c r="C16" i="1" s="1"/>
  <c r="D10" i="1"/>
  <c r="D16" i="1" s="1"/>
  <c r="E10" i="1"/>
  <c r="E16" i="1" s="1"/>
  <c r="F10" i="1"/>
  <c r="G10" i="1"/>
  <c r="H10" i="1"/>
  <c r="I10" i="1"/>
  <c r="B11" i="1"/>
  <c r="C11" i="1"/>
  <c r="D11" i="1"/>
  <c r="E11" i="1"/>
  <c r="F11" i="1"/>
  <c r="G11" i="1"/>
  <c r="H11" i="1"/>
  <c r="I11" i="1"/>
  <c r="L11" i="1" s="1"/>
  <c r="C8" i="1"/>
  <c r="D8" i="1"/>
  <c r="E8" i="1"/>
  <c r="F8" i="1"/>
  <c r="G8" i="1"/>
  <c r="H8" i="1"/>
  <c r="I8" i="1"/>
  <c r="B8" i="1"/>
  <c r="J3" i="1"/>
  <c r="J4" i="1"/>
  <c r="J5" i="1"/>
  <c r="J2" i="1"/>
  <c r="F16" i="1"/>
  <c r="G16" i="1"/>
  <c r="H16" i="1"/>
  <c r="I16" i="1"/>
  <c r="L12" i="1"/>
  <c r="L9" i="1"/>
  <c r="L4" i="1"/>
  <c r="L5" i="1"/>
  <c r="L6" i="1"/>
  <c r="L3" i="1"/>
  <c r="L10" i="1" l="1"/>
</calcChain>
</file>

<file path=xl/sharedStrings.xml><?xml version="1.0" encoding="utf-8"?>
<sst xmlns="http://schemas.openxmlformats.org/spreadsheetml/2006/main" count="35" uniqueCount="17">
  <si>
    <t>x1</t>
  </si>
  <si>
    <t>x2</t>
  </si>
  <si>
    <t>x3</t>
  </si>
  <si>
    <t>x4</t>
  </si>
  <si>
    <t>x5</t>
  </si>
  <si>
    <t>x6</t>
  </si>
  <si>
    <t>x7</t>
  </si>
  <si>
    <t>constant</t>
  </si>
  <si>
    <t>val</t>
  </si>
  <si>
    <t>max</t>
  </si>
  <si>
    <t>con1</t>
  </si>
  <si>
    <t>con2</t>
  </si>
  <si>
    <t>con3</t>
  </si>
  <si>
    <t>con4</t>
  </si>
  <si>
    <t>scale var</t>
  </si>
  <si>
    <t>constraint</t>
  </si>
  <si>
    <t>break -&gt; 268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</si>
</sst>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Border="1"/>
    <xf numFmtId="0" fontId="0" fillId="0" borderId="2" xfId="0" applyFill="1" applyBorder="1"/>
    <xf numFmtId="0" fontId="0" fillId="0" borderId="5" xfId="0" applyBorder="1"/>
    <xf numFmtId="0" fontId="0" fillId="0" borderId="4" xfId="0" applyBorder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1C75-ED1C-469E-BC57-4D2339BBE51D}">
  <dimension ref="A1:M24"/>
  <sheetViews>
    <sheetView tabSelected="1" zoomScale="90" zoomScaleNormal="90" workbookViewId="0">
      <selection activeCell="K24" sqref="K24"/>
    </sheetView>
  </sheetViews>
  <sheetFormatPr defaultRowHeight="15" x14ac:dyDescent="0.25"/>
  <cols>
    <col min="1" max="1" width="9.140625" style="1"/>
    <col min="10" max="10" width="9.140625" style="7"/>
  </cols>
  <sheetData>
    <row r="1" spans="1:13" s="3" customFormat="1" ht="15.75" thickBo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6" t="s">
        <v>8</v>
      </c>
      <c r="K1" s="3" t="s">
        <v>14</v>
      </c>
      <c r="L1" s="5" t="s">
        <v>15</v>
      </c>
      <c r="M1" s="4"/>
    </row>
    <row r="2" spans="1:13" x14ac:dyDescent="0.25">
      <c r="A2" s="1" t="s">
        <v>9</v>
      </c>
      <c r="B2">
        <v>20</v>
      </c>
      <c r="C2">
        <v>10</v>
      </c>
      <c r="D2">
        <v>15</v>
      </c>
      <c r="E2">
        <v>0</v>
      </c>
      <c r="F2">
        <v>0</v>
      </c>
      <c r="G2">
        <v>0</v>
      </c>
      <c r="H2">
        <v>0</v>
      </c>
      <c r="I2">
        <v>0</v>
      </c>
      <c r="J2" s="7">
        <f>B2</f>
        <v>20</v>
      </c>
      <c r="K2" t="s">
        <v>0</v>
      </c>
    </row>
    <row r="3" spans="1:13" x14ac:dyDescent="0.25">
      <c r="A3" s="1" t="s">
        <v>10</v>
      </c>
      <c r="B3">
        <v>3</v>
      </c>
      <c r="C3">
        <v>2</v>
      </c>
      <c r="D3">
        <v>5</v>
      </c>
      <c r="E3">
        <v>1</v>
      </c>
      <c r="F3">
        <v>0</v>
      </c>
      <c r="G3">
        <v>0</v>
      </c>
      <c r="H3">
        <v>0</v>
      </c>
      <c r="I3">
        <v>55</v>
      </c>
      <c r="J3" s="7">
        <f t="shared" ref="J3:J5" si="0">B3</f>
        <v>3</v>
      </c>
      <c r="L3">
        <f>I3/B3</f>
        <v>18.333333333333332</v>
      </c>
    </row>
    <row r="4" spans="1:13" x14ac:dyDescent="0.25">
      <c r="A4" s="1" t="s">
        <v>11</v>
      </c>
      <c r="B4">
        <v>2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26</v>
      </c>
      <c r="J4" s="7">
        <f t="shared" si="0"/>
        <v>2</v>
      </c>
      <c r="L4" s="8">
        <f t="shared" ref="L4:L6" si="1">I4/B4</f>
        <v>13</v>
      </c>
    </row>
    <row r="5" spans="1:13" x14ac:dyDescent="0.25">
      <c r="A5" s="1" t="s">
        <v>12</v>
      </c>
      <c r="B5">
        <v>1</v>
      </c>
      <c r="C5">
        <v>1</v>
      </c>
      <c r="D5">
        <v>3</v>
      </c>
      <c r="E5">
        <v>0</v>
      </c>
      <c r="F5">
        <v>0</v>
      </c>
      <c r="G5">
        <v>1</v>
      </c>
      <c r="H5">
        <v>0</v>
      </c>
      <c r="I5">
        <v>30</v>
      </c>
      <c r="J5" s="7">
        <f t="shared" si="0"/>
        <v>1</v>
      </c>
      <c r="L5">
        <f t="shared" si="1"/>
        <v>30</v>
      </c>
    </row>
    <row r="6" spans="1:13" x14ac:dyDescent="0.25">
      <c r="A6" s="1" t="s">
        <v>13</v>
      </c>
      <c r="B6">
        <v>5</v>
      </c>
      <c r="C6">
        <v>2</v>
      </c>
      <c r="D6">
        <v>4</v>
      </c>
      <c r="E6">
        <v>0</v>
      </c>
      <c r="F6">
        <v>0</v>
      </c>
      <c r="G6">
        <v>0</v>
      </c>
      <c r="H6">
        <v>1</v>
      </c>
      <c r="I6">
        <v>57</v>
      </c>
      <c r="L6">
        <f t="shared" si="1"/>
        <v>11.4</v>
      </c>
    </row>
    <row r="8" spans="1:13" x14ac:dyDescent="0.25">
      <c r="A8" s="1" t="s">
        <v>9</v>
      </c>
      <c r="B8">
        <f>B2-$J2*B$12</f>
        <v>0</v>
      </c>
      <c r="C8">
        <f t="shared" ref="C8:I8" si="2">C2-$J2*C$12</f>
        <v>2</v>
      </c>
      <c r="D8">
        <f t="shared" si="2"/>
        <v>-1</v>
      </c>
      <c r="E8">
        <f t="shared" si="2"/>
        <v>0</v>
      </c>
      <c r="F8">
        <f t="shared" si="2"/>
        <v>0</v>
      </c>
      <c r="G8">
        <f t="shared" si="2"/>
        <v>0</v>
      </c>
      <c r="H8">
        <f t="shared" si="2"/>
        <v>-4</v>
      </c>
      <c r="I8">
        <f t="shared" si="2"/>
        <v>-228</v>
      </c>
      <c r="J8" s="7">
        <f>C8</f>
        <v>2</v>
      </c>
      <c r="K8" t="s">
        <v>1</v>
      </c>
    </row>
    <row r="9" spans="1:13" x14ac:dyDescent="0.25">
      <c r="A9" s="1" t="s">
        <v>10</v>
      </c>
      <c r="B9">
        <f t="shared" ref="B9:I9" si="3">B3-$J3*B$12</f>
        <v>0</v>
      </c>
      <c r="C9">
        <f t="shared" si="3"/>
        <v>0.79999999999999982</v>
      </c>
      <c r="D9">
        <f t="shared" si="3"/>
        <v>2.5999999999999996</v>
      </c>
      <c r="E9">
        <f t="shared" si="3"/>
        <v>1</v>
      </c>
      <c r="F9">
        <f t="shared" si="3"/>
        <v>0</v>
      </c>
      <c r="G9">
        <f t="shared" si="3"/>
        <v>0</v>
      </c>
      <c r="H9">
        <f t="shared" si="3"/>
        <v>-0.60000000000000009</v>
      </c>
      <c r="I9">
        <f t="shared" si="3"/>
        <v>20.799999999999997</v>
      </c>
      <c r="J9" s="7">
        <f t="shared" ref="J9:J12" si="4">C9</f>
        <v>0.79999999999999982</v>
      </c>
      <c r="L9">
        <f>I9/C9</f>
        <v>26.000000000000004</v>
      </c>
    </row>
    <row r="10" spans="1:13" x14ac:dyDescent="0.25">
      <c r="A10" s="1" t="s">
        <v>11</v>
      </c>
      <c r="B10">
        <f t="shared" ref="B10:I10" si="5">B4-$J4*B$12</f>
        <v>0</v>
      </c>
      <c r="C10">
        <f t="shared" si="5"/>
        <v>0.19999999999999996</v>
      </c>
      <c r="D10">
        <f t="shared" si="5"/>
        <v>-0.60000000000000009</v>
      </c>
      <c r="E10">
        <f t="shared" si="5"/>
        <v>0</v>
      </c>
      <c r="F10">
        <f t="shared" si="5"/>
        <v>1</v>
      </c>
      <c r="G10">
        <f t="shared" si="5"/>
        <v>0</v>
      </c>
      <c r="H10">
        <f t="shared" si="5"/>
        <v>-0.4</v>
      </c>
      <c r="I10">
        <f t="shared" si="5"/>
        <v>3.1999999999999993</v>
      </c>
      <c r="J10" s="7">
        <v>0.2</v>
      </c>
      <c r="L10" s="8">
        <f t="shared" ref="L10:L12" si="6">I10/C10</f>
        <v>16</v>
      </c>
    </row>
    <row r="11" spans="1:13" x14ac:dyDescent="0.25">
      <c r="A11" s="1" t="s">
        <v>12</v>
      </c>
      <c r="B11">
        <f t="shared" ref="B11:I11" si="7">B5-$J5*B$12</f>
        <v>0</v>
      </c>
      <c r="C11">
        <f t="shared" si="7"/>
        <v>0.6</v>
      </c>
      <c r="D11">
        <f t="shared" si="7"/>
        <v>2.2000000000000002</v>
      </c>
      <c r="E11">
        <f t="shared" si="7"/>
        <v>0</v>
      </c>
      <c r="F11">
        <f t="shared" si="7"/>
        <v>0</v>
      </c>
      <c r="G11">
        <f t="shared" si="7"/>
        <v>1</v>
      </c>
      <c r="H11">
        <f t="shared" si="7"/>
        <v>-0.2</v>
      </c>
      <c r="I11">
        <f t="shared" si="7"/>
        <v>18.600000000000001</v>
      </c>
      <c r="J11" s="7">
        <f t="shared" si="4"/>
        <v>0.6</v>
      </c>
      <c r="L11">
        <f t="shared" si="6"/>
        <v>31.000000000000004</v>
      </c>
    </row>
    <row r="12" spans="1:13" x14ac:dyDescent="0.25">
      <c r="A12" s="1" t="s">
        <v>13</v>
      </c>
      <c r="B12">
        <v>1</v>
      </c>
      <c r="C12">
        <v>0.4</v>
      </c>
      <c r="D12">
        <v>0.8</v>
      </c>
      <c r="E12">
        <v>0</v>
      </c>
      <c r="F12">
        <v>0</v>
      </c>
      <c r="G12">
        <v>0</v>
      </c>
      <c r="H12">
        <v>0.2</v>
      </c>
      <c r="I12">
        <v>11.4</v>
      </c>
      <c r="J12" s="7">
        <f t="shared" si="4"/>
        <v>0.4</v>
      </c>
      <c r="L12">
        <f t="shared" si="6"/>
        <v>28.5</v>
      </c>
    </row>
    <row r="14" spans="1:13" x14ac:dyDescent="0.25">
      <c r="A14" s="1" t="s">
        <v>9</v>
      </c>
      <c r="B14">
        <f>B8-$J8*B$16</f>
        <v>0</v>
      </c>
      <c r="C14">
        <f t="shared" ref="C14:I15" si="8">C8-$J8*C$16</f>
        <v>0</v>
      </c>
      <c r="D14">
        <f t="shared" si="8"/>
        <v>5.0000000000000009</v>
      </c>
      <c r="E14">
        <f t="shared" si="8"/>
        <v>0</v>
      </c>
      <c r="F14">
        <f t="shared" si="8"/>
        <v>-10</v>
      </c>
      <c r="G14">
        <f t="shared" si="8"/>
        <v>0</v>
      </c>
      <c r="H14">
        <f>H8-$J8*H$16</f>
        <v>0</v>
      </c>
      <c r="I14">
        <f t="shared" si="8"/>
        <v>-260</v>
      </c>
      <c r="J14" s="7">
        <f>D14</f>
        <v>5.0000000000000009</v>
      </c>
      <c r="K14" t="s">
        <v>2</v>
      </c>
    </row>
    <row r="15" spans="1:13" x14ac:dyDescent="0.25">
      <c r="A15" s="1" t="s">
        <v>10</v>
      </c>
      <c r="B15">
        <f>B9-$J9*B$16</f>
        <v>0</v>
      </c>
      <c r="C15">
        <f t="shared" si="8"/>
        <v>0</v>
      </c>
      <c r="D15">
        <f t="shared" si="8"/>
        <v>5</v>
      </c>
      <c r="E15">
        <f t="shared" si="8"/>
        <v>1</v>
      </c>
      <c r="F15">
        <f t="shared" si="8"/>
        <v>-3.9999999999999991</v>
      </c>
      <c r="G15">
        <f t="shared" si="8"/>
        <v>0</v>
      </c>
      <c r="H15">
        <f>H9-$J9*H$16</f>
        <v>0.99999999999999956</v>
      </c>
      <c r="I15">
        <f t="shared" si="8"/>
        <v>8.0000000000000036</v>
      </c>
      <c r="J15" s="7">
        <f t="shared" ref="J15:J18" si="9">D15</f>
        <v>5</v>
      </c>
      <c r="L15" s="8">
        <f>I15/D15</f>
        <v>1.6000000000000008</v>
      </c>
    </row>
    <row r="16" spans="1:13" x14ac:dyDescent="0.25">
      <c r="A16" s="1" t="s">
        <v>11</v>
      </c>
      <c r="B16">
        <f>B10/0.2</f>
        <v>0</v>
      </c>
      <c r="C16">
        <f t="shared" ref="C16:I16" si="10">C10/0.2</f>
        <v>0.99999999999999978</v>
      </c>
      <c r="D16">
        <f t="shared" si="10"/>
        <v>-3.0000000000000004</v>
      </c>
      <c r="E16">
        <f t="shared" si="10"/>
        <v>0</v>
      </c>
      <c r="F16">
        <f t="shared" si="10"/>
        <v>5</v>
      </c>
      <c r="G16">
        <f t="shared" si="10"/>
        <v>0</v>
      </c>
      <c r="H16">
        <f t="shared" si="10"/>
        <v>-2</v>
      </c>
      <c r="I16">
        <f t="shared" si="10"/>
        <v>15.999999999999996</v>
      </c>
      <c r="J16" s="7">
        <f t="shared" si="9"/>
        <v>-3.0000000000000004</v>
      </c>
      <c r="L16">
        <f t="shared" ref="L16:L18" si="11">I16/D16</f>
        <v>-5.3333333333333313</v>
      </c>
    </row>
    <row r="17" spans="1:12" x14ac:dyDescent="0.25">
      <c r="A17" s="1" t="s">
        <v>12</v>
      </c>
      <c r="B17">
        <f>B11-$J11*B$16</f>
        <v>0</v>
      </c>
      <c r="C17">
        <f t="shared" ref="C17:I18" si="12">C11-$J11*C$16</f>
        <v>0</v>
      </c>
      <c r="D17">
        <f t="shared" si="12"/>
        <v>4</v>
      </c>
      <c r="E17">
        <f t="shared" si="12"/>
        <v>0</v>
      </c>
      <c r="F17">
        <f t="shared" si="12"/>
        <v>-3</v>
      </c>
      <c r="G17">
        <f t="shared" si="12"/>
        <v>1</v>
      </c>
      <c r="H17">
        <f t="shared" si="12"/>
        <v>1</v>
      </c>
      <c r="I17">
        <f t="shared" si="12"/>
        <v>9.0000000000000036</v>
      </c>
      <c r="J17" s="7">
        <f t="shared" si="9"/>
        <v>4</v>
      </c>
      <c r="L17">
        <f t="shared" si="11"/>
        <v>2.2500000000000009</v>
      </c>
    </row>
    <row r="18" spans="1:12" x14ac:dyDescent="0.25">
      <c r="A18" s="1" t="s">
        <v>13</v>
      </c>
      <c r="B18">
        <f>B12-$J12*B$16</f>
        <v>1</v>
      </c>
      <c r="C18">
        <f t="shared" si="12"/>
        <v>0</v>
      </c>
      <c r="D18">
        <f t="shared" si="12"/>
        <v>2</v>
      </c>
      <c r="E18">
        <f t="shared" si="12"/>
        <v>0</v>
      </c>
      <c r="F18">
        <f t="shared" si="12"/>
        <v>-2</v>
      </c>
      <c r="G18">
        <f t="shared" si="12"/>
        <v>0</v>
      </c>
      <c r="H18">
        <f t="shared" si="12"/>
        <v>1</v>
      </c>
      <c r="I18">
        <f t="shared" si="12"/>
        <v>5.0000000000000018</v>
      </c>
      <c r="J18" s="7">
        <f t="shared" si="9"/>
        <v>2</v>
      </c>
      <c r="L18">
        <f t="shared" si="11"/>
        <v>2.5000000000000009</v>
      </c>
    </row>
    <row r="20" spans="1:12" x14ac:dyDescent="0.25">
      <c r="A20" s="1" t="s">
        <v>9</v>
      </c>
      <c r="B20">
        <f>B14-$J14*B$21</f>
        <v>0</v>
      </c>
      <c r="C20">
        <f t="shared" ref="C20:I20" si="13">C14-$J14*C$21</f>
        <v>0</v>
      </c>
      <c r="D20">
        <f t="shared" si="13"/>
        <v>0</v>
      </c>
      <c r="E20">
        <f t="shared" si="13"/>
        <v>-1.0000000000000002</v>
      </c>
      <c r="F20">
        <f t="shared" si="13"/>
        <v>-6</v>
      </c>
      <c r="G20">
        <f t="shared" si="13"/>
        <v>0</v>
      </c>
      <c r="H20">
        <f t="shared" si="13"/>
        <v>-0.99999999999999967</v>
      </c>
      <c r="I20">
        <f t="shared" si="13"/>
        <v>-268</v>
      </c>
      <c r="K20" s="9" t="s">
        <v>16</v>
      </c>
    </row>
    <row r="21" spans="1:12" x14ac:dyDescent="0.25">
      <c r="A21" s="1" t="s">
        <v>10</v>
      </c>
      <c r="B21">
        <f>B15/$J15</f>
        <v>0</v>
      </c>
      <c r="C21">
        <f t="shared" ref="C21:I21" si="14">C15/$J15</f>
        <v>0</v>
      </c>
      <c r="D21">
        <f t="shared" si="14"/>
        <v>1</v>
      </c>
      <c r="E21">
        <f t="shared" si="14"/>
        <v>0.2</v>
      </c>
      <c r="F21">
        <f t="shared" si="14"/>
        <v>-0.79999999999999982</v>
      </c>
      <c r="G21">
        <f t="shared" si="14"/>
        <v>0</v>
      </c>
      <c r="H21">
        <f t="shared" si="14"/>
        <v>0.1999999999999999</v>
      </c>
      <c r="I21">
        <f t="shared" si="14"/>
        <v>1.6000000000000008</v>
      </c>
    </row>
    <row r="22" spans="1:12" x14ac:dyDescent="0.25">
      <c r="A22" s="1" t="s">
        <v>11</v>
      </c>
      <c r="B22">
        <f>B16-$J16*B$21</f>
        <v>0</v>
      </c>
      <c r="C22">
        <f t="shared" ref="C22:I22" si="15">C16-$J16*C$21</f>
        <v>0.99999999999999978</v>
      </c>
      <c r="D22">
        <f t="shared" si="15"/>
        <v>0</v>
      </c>
      <c r="E22">
        <f t="shared" si="15"/>
        <v>0.60000000000000009</v>
      </c>
      <c r="F22">
        <f t="shared" si="15"/>
        <v>2.6</v>
      </c>
      <c r="G22">
        <f t="shared" si="15"/>
        <v>0</v>
      </c>
      <c r="H22">
        <f t="shared" si="15"/>
        <v>-1.4000000000000004</v>
      </c>
      <c r="I22">
        <f t="shared" si="15"/>
        <v>20.8</v>
      </c>
    </row>
    <row r="23" spans="1:12" x14ac:dyDescent="0.25">
      <c r="A23" s="1" t="s">
        <v>12</v>
      </c>
      <c r="B23">
        <f t="shared" ref="B23:I23" si="16">B17-$J17*B$21</f>
        <v>0</v>
      </c>
      <c r="C23">
        <f t="shared" si="16"/>
        <v>0</v>
      </c>
      <c r="D23">
        <f t="shared" si="16"/>
        <v>0</v>
      </c>
      <c r="E23">
        <f t="shared" si="16"/>
        <v>-0.8</v>
      </c>
      <c r="F23">
        <f t="shared" si="16"/>
        <v>0.19999999999999929</v>
      </c>
      <c r="G23">
        <f t="shared" si="16"/>
        <v>1</v>
      </c>
      <c r="H23">
        <f t="shared" si="16"/>
        <v>0.2000000000000004</v>
      </c>
      <c r="I23">
        <f t="shared" si="16"/>
        <v>2.6000000000000005</v>
      </c>
    </row>
    <row r="24" spans="1:12" x14ac:dyDescent="0.25">
      <c r="A24" s="1" t="s">
        <v>13</v>
      </c>
      <c r="B24">
        <f t="shared" ref="B24:I24" si="17">B18-$J18*B$21</f>
        <v>1</v>
      </c>
      <c r="C24">
        <f t="shared" si="17"/>
        <v>0</v>
      </c>
      <c r="D24">
        <f t="shared" si="17"/>
        <v>0</v>
      </c>
      <c r="E24">
        <f t="shared" si="17"/>
        <v>-0.4</v>
      </c>
      <c r="F24">
        <f t="shared" si="17"/>
        <v>-0.40000000000000036</v>
      </c>
      <c r="G24">
        <f t="shared" si="17"/>
        <v>0</v>
      </c>
      <c r="H24">
        <f t="shared" si="17"/>
        <v>0.6000000000000002</v>
      </c>
      <c r="I24">
        <f t="shared" si="17"/>
        <v>1.8000000000000003</v>
      </c>
    </row>
  </sheetData>
  <phoneticPr fontId="2" type="noConversion"/>
  <pageMargins left="0.7" right="0.7" top="0.75" bottom="0.75" header="0.3" footer="0.3"/>
  <ignoredErrors>
    <ignoredError sqref="F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Brokaw, Seamus</dc:creator>
  <cp:lastModifiedBy>Brokaw, Seamus</cp:lastModifiedBy>
  <dcterms:created xsi:type="dcterms:W3CDTF">2026-01-06T23:32:53Z</dcterms:created>
  <dcterms:modified xsi:type="dcterms:W3CDTF">2026-01-07T00:00:55Z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dc0b0e-a32e-4bdd-9c43-bcb4549492fc_Enabled">
    <vt:lpwstr>true</vt:lpwstr>
  </property>
  <property fmtid="{D5CDD505-2E9C-101B-9397-08002B2CF9AE}" pid="3" name="MSIP_Label_bedc0b0e-a32e-4bdd-9c43-bcb4549492fc_SetDate">
    <vt:lpwstr>2026-01-06T23:54:11Z</vt:lpwstr>
  </property>
  <property fmtid="{D5CDD505-2E9C-101B-9397-08002B2CF9AE}" pid="4" name="MSIP_Label_bedc0b0e-a32e-4bdd-9c43-bcb4549492fc_Method">
    <vt:lpwstr>Standard</vt:lpwstr>
  </property>
  <property fmtid="{D5CDD505-2E9C-101B-9397-08002B2CF9AE}" pid="5" name="MSIP_Label_bedc0b0e-a32e-4bdd-9c43-bcb4549492fc_Name">
    <vt:lpwstr>RAL-Public</vt:lpwstr>
  </property>
  <property fmtid="{D5CDD505-2E9C-101B-9397-08002B2CF9AE}" pid="6" name="MSIP_Label_bedc0b0e-a32e-4bdd-9c43-bcb4549492fc_SiteId">
    <vt:lpwstr>523cf7c2-a9b1-496c-b186-811193b6880f</vt:lpwstr>
  </property>
  <property fmtid="{D5CDD505-2E9C-101B-9397-08002B2CF9AE}" pid="7" name="MSIP_Label_bedc0b0e-a32e-4bdd-9c43-bcb4549492fc_ActionId">
    <vt:lpwstr>7a660000-be27-4621-a49d-65c9eec60749</vt:lpwstr>
  </property>
  <property fmtid="{D5CDD505-2E9C-101B-9397-08002B2CF9AE}" pid="8" name="MSIP_Label_bedc0b0e-a32e-4bdd-9c43-bcb4549492fc_ContentBits">
    <vt:lpwstr>0</vt:lpwstr>
  </property>
  <property fmtid="{D5CDD505-2E9C-101B-9397-08002B2CF9AE}" pid="9" name="MSIP_Label_bedc0b0e-a32e-4bdd-9c43-bcb4549492fc_Tag">
    <vt:lpwstr>10, 3, 0, 1</vt:lpwstr>
  </property>
</Properties>
</file>